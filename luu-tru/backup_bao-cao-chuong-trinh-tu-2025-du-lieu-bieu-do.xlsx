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ướng dẫn" sheetId="1" state="visible" r:id="rId1"/>
    <sheet name="Ô số" sheetId="2" state="visible" r:id="rId2"/>
    <sheet name="Hoạt động theo tháng" sheetId="3" state="visible" r:id="rId3"/>
    <sheet name="Chương trình theo loại" sheetId="4" state="visible" r:id="rId4"/>
    <sheet name="Công bố trước" sheetId="5" state="visible" r:id="rId5"/>
    <sheet name="Bài web theo nhóm" sheetId="6" state="visible" r:id="rId6"/>
    <sheet name="Top 10 bài web" sheetId="7" state="visible" r:id="rId7"/>
    <sheet name="Fanpage theo tháng" sheetId="8" state="visible" r:id="rId8"/>
    <sheet name="Nhóm nội dung Fanpage" sheetId="9" state="visible" r:id="rId9"/>
    <sheet name="Yếu tố lượt thích" sheetId="10" state="visible" r:id="rId10"/>
    <sheet name="Reel trang Hotel" sheetId="11" state="visible" r:id="rId11"/>
    <sheet name="Chương trình trên 100 thích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;&quot;sau &quot;0;0"/>
    <numFmt numFmtId="165" formatCode="0;-0;&quot;·&quot;"/>
    <numFmt numFmtId="166" formatCode="0.0&quot; lần&quot;"/>
    <numFmt numFmtId="167" formatCode="0.0"/>
  </numFmts>
  <fonts count="7">
    <font>
      <name val="Calibri"/>
      <family val="2"/>
      <color theme="1"/>
      <sz val="11"/>
      <scheme val="minor"/>
    </font>
    <font>
      <name val="Arial"/>
      <b val="1"/>
      <color rgb="0020404B"/>
      <sz val="14"/>
    </font>
    <font>
      <name val="Arial"/>
      <i val="1"/>
      <color rgb="005C6B70"/>
      <sz val="10"/>
    </font>
    <font>
      <name val="Arial"/>
      <b val="1"/>
      <sz val="10"/>
    </font>
    <font>
      <name val="Arial"/>
      <sz val="10"/>
    </font>
    <font>
      <name val="Arial"/>
      <color rgb="005C6B70"/>
      <sz val="9"/>
    </font>
    <font>
      <name val="Arial"/>
      <b val="1"/>
      <i val="1"/>
      <sz val="10"/>
    </font>
  </fonts>
  <fills count="9">
    <fill>
      <patternFill/>
    </fill>
    <fill>
      <patternFill patternType="gray125"/>
    </fill>
    <fill>
      <patternFill patternType="solid">
        <fgColor rgb="00EEF3F4"/>
      </patternFill>
    </fill>
    <fill>
      <patternFill patternType="solid">
        <fgColor rgb="0000749C"/>
      </patternFill>
    </fill>
    <fill>
      <patternFill patternType="solid">
        <fgColor rgb="00D08F00"/>
      </patternFill>
    </fill>
    <fill>
      <patternFill patternType="solid">
        <fgColor rgb="002F87B0"/>
      </patternFill>
    </fill>
    <fill>
      <patternFill patternType="solid">
        <fgColor rgb="000A5677"/>
      </patternFill>
    </fill>
    <fill>
      <patternFill patternType="solid">
        <fgColor rgb="00C3CDD0"/>
      </patternFill>
    </fill>
    <fill>
      <patternFill patternType="solid">
        <fgColor rgb="005C6B70"/>
      </patternFill>
    </fill>
  </fills>
  <borders count="3">
    <border>
      <left/>
      <right/>
      <top/>
      <bottom/>
      <diagonal/>
    </border>
    <border>
      <bottom style="thin">
        <color rgb="00B7C2C5"/>
      </bottom>
    </border>
    <border>
      <top style="thin">
        <color rgb="00B7C2C5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vertical="bottom" wrapText="1"/>
    </xf>
    <xf numFmtId="0" fontId="4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5" fillId="0" borderId="0" pivotButton="0" quotePrefix="0" xfId="0"/>
    <xf numFmtId="3" fontId="4" fillId="0" borderId="0" pivotButton="0" quotePrefix="0" xfId="0"/>
    <xf numFmtId="3" fontId="3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3" fillId="0" borderId="2" pivotButton="0" quotePrefix="0" xfId="0"/>
    <xf numFmtId="3" fontId="3" fillId="0" borderId="2" pivotButton="0" quotePrefix="0" xfId="0"/>
    <xf numFmtId="0" fontId="6" fillId="0" borderId="0" pivotButton="0" quotePrefix="0" xfId="0"/>
    <xf numFmtId="3" fontId="6" fillId="0" borderId="0" pivotButton="0" quotePrefix="0" xfId="0"/>
    <xf numFmtId="166" fontId="4" fillId="0" borderId="0" pivotButton="0" quotePrefix="0" xfId="0"/>
    <xf numFmtId="167" fontId="4" fillId="0" borderId="0" pivotButton="0" quotePrefix="0" xfId="0"/>
    <xf numFmtId="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10" customWidth="1" min="3" max="3"/>
    <col width="24" customWidth="1" min="4" max="4"/>
    <col width="30" customWidth="1" min="5" max="5"/>
    <col width="84" customWidth="1" min="6" max="6"/>
  </cols>
  <sheetData>
    <row r="1">
      <c r="A1" s="1" t="inlineStr">
        <is>
          <t>Dữ liệu biểu đồ · backup_bao-cao-chuong-trinh-tu-2025.pdf</t>
        </is>
      </c>
    </row>
    <row r="2">
      <c r="A2" s="2" t="inlineStr">
        <is>
          <t>Số liệu khớp với bản PDF 21 trang (bản lưu ngày 13/10/2026). Mỗi trang tính là một biểu đồ trong PDF.</t>
        </is>
      </c>
    </row>
    <row r="4">
      <c r="A4" s="3" t="inlineStr">
        <is>
          <t>Cách dùng</t>
        </is>
      </c>
    </row>
    <row r="5">
      <c r="A5" s="4" t="inlineStr">
        <is>
          <t>1. Tải file lên Google Drive, bấm đúp rồi chọn "Mở bằng Google Trang tính" (Open with Google Sheets).</t>
        </is>
      </c>
    </row>
    <row r="6">
      <c r="A6" s="4" t="inlineStr">
        <is>
          <t>2. Tệp → Cài đặt → Ngôn ngữ (Locale): Việt Nam, để số hiện như PDF: 1.825 và 8,5.</t>
        </is>
      </c>
    </row>
    <row r="7">
      <c r="A7" s="4" t="inlineStr">
        <is>
          <t>3. Mỗi khối có dòng tiêu đề tô màu là dữ liệu của một biểu đồ. Chọn đúng vùng ở bảng dưới (gồm cả dòng tiêu đề), rồi Chèn → Biểu đồ (Insert → Chart).</t>
        </is>
      </c>
    </row>
    <row r="8">
      <c r="A8" s="4" t="inlineStr">
        <is>
          <t>4. Thẻ Thiết lập (Setup): chọn loại biểu đồ. Thẻ Tùy chỉnh (Customize) → Chuỗi (Series): đổi màu theo mã, bật Nhãn dữ liệu (Data labels) để hiện số.</t>
        </is>
      </c>
    </row>
    <row r="10">
      <c r="A10" s="5" t="inlineStr">
        <is>
          <t>Trang tính</t>
        </is>
      </c>
      <c r="B10" s="5" t="inlineStr">
        <is>
          <t>Biểu đồ trong PDF</t>
        </is>
      </c>
      <c r="C10" s="5" t="inlineStr">
        <is>
          <t>Trang PDF</t>
        </is>
      </c>
      <c r="D10" s="5" t="inlineStr">
        <is>
          <t>Chọn vùng</t>
        </is>
      </c>
      <c r="E10" s="5" t="inlineStr">
        <is>
          <t>Loại biểu đồ</t>
        </is>
      </c>
      <c r="F10" s="5" t="inlineStr">
        <is>
          <t>Chỉnh thêm</t>
        </is>
      </c>
    </row>
    <row r="11">
      <c r="A11" s="6" t="inlineStr">
        <is>
          <t>Ô số</t>
        </is>
      </c>
      <c r="B11" s="6" t="inlineStr">
        <is>
          <t>Các ô số lớn</t>
        </is>
      </c>
      <c r="C11" s="6" t="inlineStr">
        <is>
          <t>3, 11, 12</t>
        </is>
      </c>
      <c r="D11" s="6" t="inlineStr">
        <is>
          <t>Một ô ở cột C</t>
        </is>
      </c>
      <c r="E11" s="6" t="inlineStr">
        <is>
          <t>Thẻ điểm (Scorecard)</t>
        </is>
      </c>
      <c r="F11" s="6" t="inlineStr">
        <is>
          <t>Mỗi ô một thẻ. Dòng ghi chú (cột D) gõ vào ô bên dưới thẻ.</t>
        </is>
      </c>
    </row>
    <row r="12">
      <c r="A12" s="6" t="inlineStr">
        <is>
          <t>Hoạt động theo tháng</t>
        </is>
      </c>
      <c r="B12" s="6" t="inlineStr">
        <is>
          <t>Nhịp hoạt động theo tháng và các mốc chính</t>
        </is>
      </c>
      <c r="C12" s="6" t="inlineStr">
        <is>
          <t>4</t>
        </is>
      </c>
      <c r="D12" s="6" t="inlineStr">
        <is>
          <t>A4:B26 và D4:E26</t>
        </is>
      </c>
      <c r="E12" s="6" t="inlineStr">
        <is>
          <t>Cột (Column), mỗi vùng một biểu đồ</t>
        </is>
      </c>
      <c r="F12" s="6" t="inlineStr">
        <is>
          <t>Web #00749C, Fanpage #D08F00. Đặt biểu đồ Fanpage ngay dưới biểu đồ web, cùng độ rộng. Dải giai đoạn và mốc chính không vẽ được: dùng 2 bảng bên phải.</t>
        </is>
      </c>
    </row>
    <row r="13">
      <c r="A13" s="6" t="inlineStr">
        <is>
          <t>Chương trình theo loại</t>
        </is>
      </c>
      <c r="B13" s="6" t="inlineStr">
        <is>
          <t>Số chương trình theo loại và năm</t>
        </is>
      </c>
      <c r="C13" s="6" t="inlineStr">
        <is>
          <t>8</t>
        </is>
      </c>
      <c r="D13" s="6" t="inlineStr">
        <is>
          <t>A4:C10</t>
        </is>
      </c>
      <c r="E13" s="6" t="inlineStr">
        <is>
          <t>Thanh xếp chồng (Stacked bar)</t>
        </is>
      </c>
      <c r="F13" s="6" t="inlineStr">
        <is>
          <t>2025 #2F87B0, 2026 #0A5677. Bật Nhãn dữ liệu và Nhãn tổng (Total data labels) để có số ở cuối thanh.</t>
        </is>
      </c>
    </row>
    <row r="14">
      <c r="A14" s="6" t="inlineStr">
        <is>
          <t>Công bố trước</t>
        </is>
      </c>
      <c r="B14" s="6" t="inlineStr">
        <is>
          <t>Công bố trước bao nhiêu ngày</t>
        </is>
      </c>
      <c r="C14" s="6" t="inlineStr">
        <is>
          <t>10</t>
        </is>
      </c>
      <c r="D14" s="6" t="inlineStr">
        <is>
          <t>A4:C15</t>
        </is>
      </c>
      <c r="E14" s="6" t="inlineStr">
        <is>
          <t>Thanh (Bar)</t>
        </is>
      </c>
      <c r="F14" s="6" t="inlineStr">
        <is>
          <t>Web #00749C, Fanpage #D08F00. Số âm là đăng sau ngày diễn ra. Vùng "nên công bố 21 – 28 ngày" thì ghi vào tiêu đề phụ.</t>
        </is>
      </c>
    </row>
    <row r="15">
      <c r="A15" s="6" t="inlineStr">
        <is>
          <t>Bài web theo nhóm</t>
        </is>
      </c>
      <c r="B15" s="6" t="inlineStr">
        <is>
          <t>Số bài theo nhóm và năm</t>
        </is>
      </c>
      <c r="C15" s="6" t="inlineStr">
        <is>
          <t>11</t>
        </is>
      </c>
      <c r="D15" s="6" t="inlineStr">
        <is>
          <t>A4:D14</t>
        </is>
      </c>
      <c r="E15" s="6" t="inlineStr">
        <is>
          <t>Không cần biểu đồ</t>
        </is>
      </c>
      <c r="F15" s="6" t="inlineStr">
        <is>
          <t>Bảng đã có thang màu sẵn (định dạng có điều kiện), dùng như trong PDF.</t>
        </is>
      </c>
    </row>
    <row r="16">
      <c r="A16" s="6" t="inlineStr">
        <is>
          <t>Top 10 bài web</t>
        </is>
      </c>
      <c r="B16" s="6" t="inlineStr">
        <is>
          <t>Mười bài có nhiều lượt xem nhất</t>
        </is>
      </c>
      <c r="C16" s="6" t="inlineStr">
        <is>
          <t>11</t>
        </is>
      </c>
      <c r="D16" s="6" t="inlineStr">
        <is>
          <t>A4:B15</t>
        </is>
      </c>
      <c r="E16" s="6" t="inlineStr">
        <is>
          <t>Thanh (Bar)</t>
        </is>
      </c>
      <c r="F16" s="6" t="inlineStr">
        <is>
          <t>Màu #00749C. Bấm vào thanh cuối "Trung vị mọi bài" → Định dạng điểm dữ liệu (Format data point) → #D08F00, thay cho vạch vàng trong PDF.</t>
        </is>
      </c>
    </row>
    <row r="17">
      <c r="A17" s="6" t="inlineStr">
        <is>
          <t>Fanpage theo tháng</t>
        </is>
      </c>
      <c r="B17" s="6" t="inlineStr">
        <is>
          <t>Nhịp đăng và mức phản hồi theo tháng</t>
        </is>
      </c>
      <c r="C17" s="6" t="inlineStr">
        <is>
          <t>12</t>
        </is>
      </c>
      <c r="D17" s="6" t="inlineStr">
        <is>
          <t>A4:C17; E4:F17</t>
        </is>
      </c>
      <c r="E17" s="6" t="inlineStr">
        <is>
          <t>Cột xếp chồng (Stacked column); Đường (Line)</t>
        </is>
      </c>
      <c r="F17" s="6" t="inlineStr">
        <is>
          <t>Hotel #00749C, Café Lounge #D08F00; đường trung vị #00749C. Đặt biểu đồ đường ngay dưới biểu đồ cột. Bảng H4:I17 để dưới 2 biểu đồ.</t>
        </is>
      </c>
    </row>
    <row r="18">
      <c r="A18" s="6" t="inlineStr">
        <is>
          <t>Nhóm nội dung Fanpage</t>
        </is>
      </c>
      <c r="B18" s="6" t="inlineStr">
        <is>
          <t>Đăng nhiều chưa chắc được thích nhiều</t>
        </is>
      </c>
      <c r="C18" s="6" t="inlineStr">
        <is>
          <t>13</t>
        </is>
      </c>
      <c r="D18" s="6" t="inlineStr">
        <is>
          <t>A4:B13 và D4:E14</t>
        </is>
      </c>
      <c r="E18" s="6" t="inlineStr">
        <is>
          <t>Thanh (Bar), mỗi vùng một biểu đồ, đặt cạnh nhau</t>
        </is>
      </c>
      <c r="F18" s="6" t="inlineStr">
        <is>
          <t>Mọi thanh #C3CDD0, riêng nhóm "Tiệc, hội nghị, sinh nhật": số bài #00749C, trung vị #D08F00 (Định dạng điểm dữ liệu). Thanh cuối "Trung vị chung" đổi sang #5C6B70.</t>
        </is>
      </c>
    </row>
    <row r="19">
      <c r="A19" s="6" t="inlineStr">
        <is>
          <t>Yếu tố lượt thích</t>
        </is>
      </c>
      <c r="B19" s="6" t="inlineStr">
        <is>
          <t>Những yếu tố đi kèm lượt thích cao hơn</t>
        </is>
      </c>
      <c r="C19" s="6" t="inlineStr">
        <is>
          <t>13</t>
        </is>
      </c>
      <c r="D19" s="6" t="inlineStr">
        <is>
          <t>A4:C10</t>
        </is>
      </c>
      <c r="E19" s="6" t="inlineStr">
        <is>
          <t>Thanh (Bar)</t>
        </is>
      </c>
      <c r="F19" s="6" t="inlineStr">
        <is>
          <t>Có yếu tố #00749C, Không có #C3CDD0. PDF vẽ bằng 2 chấm nối nhau; Sheets dùng 2 thanh cạnh nhau. Cột F (gấp bao nhiêu lần) chỉ để tham khảo.</t>
        </is>
      </c>
    </row>
    <row r="20">
      <c r="A20" s="6" t="inlineStr">
        <is>
          <t>Reel trang Hotel</t>
        </is>
      </c>
      <c r="B20" s="6" t="inlineStr">
        <is>
          <t>Ba reel buffet chiếm 95% lượt xem reel</t>
        </is>
      </c>
      <c r="C20" s="6" t="inlineStr">
        <is>
          <t>13</t>
        </is>
      </c>
      <c r="D20" s="6" t="inlineStr">
        <is>
          <t>A4:B14</t>
        </is>
      </c>
      <c r="E20" s="6" t="inlineStr">
        <is>
          <t>Thanh (Bar)</t>
        </is>
      </c>
      <c r="F20" s="6" t="inlineStr">
        <is>
          <t>3 reel buffet (3 thanh đầu) #00749C, các reel khác #C3CDD0. Bật Nhãn dữ liệu.</t>
        </is>
      </c>
    </row>
    <row r="21">
      <c r="A21" s="6" t="inlineStr">
        <is>
          <t>Chương trình trên 100 thích</t>
        </is>
      </c>
      <c r="B21" s="6" t="inlineStr">
        <is>
          <t>16 chương trình có bài trên 100 lượt thích</t>
        </is>
      </c>
      <c r="C21" s="6" t="inlineStr">
        <is>
          <t>14</t>
        </is>
      </c>
      <c r="D21" s="6" t="inlineStr">
        <is>
          <t>A4:B20</t>
        </is>
      </c>
      <c r="E21" s="6" t="inlineStr">
        <is>
          <t>Thanh (Bar)</t>
        </is>
      </c>
      <c r="F21" s="6" t="inlineStr">
        <is>
          <t>Màu #00749C, bật Nhãn dữ liệu.</t>
        </is>
      </c>
    </row>
    <row r="23">
      <c r="A23" s="3" t="inlineStr">
        <is>
          <t>Màu trong PDF</t>
        </is>
      </c>
    </row>
    <row r="24">
      <c r="A24" s="7" t="n"/>
      <c r="B24" s="4" t="inlineStr">
        <is>
          <t>#00749C · Web; trang Hotel; thanh chính</t>
        </is>
      </c>
    </row>
    <row r="25">
      <c r="A25" s="8" t="n"/>
      <c r="B25" s="4" t="inlineStr">
        <is>
          <t>#D08F00 · Fanpage; trang Café Lounge; trung vị</t>
        </is>
      </c>
    </row>
    <row r="26">
      <c r="A26" s="9" t="n"/>
      <c r="B26" s="4" t="inlineStr">
        <is>
          <t>#2F87B0 · Năm 2025</t>
        </is>
      </c>
    </row>
    <row r="27">
      <c r="A27" s="10" t="n"/>
      <c r="B27" s="4" t="inlineStr">
        <is>
          <t>#0A5677 · Năm 2026</t>
        </is>
      </c>
    </row>
    <row r="28">
      <c r="A28" s="11" t="n"/>
      <c r="B28" s="4" t="inlineStr">
        <is>
          <t>#C3CDD0 · Thanh phụ, làm mờ</t>
        </is>
      </c>
    </row>
    <row r="29">
      <c r="A29" s="12" t="n"/>
      <c r="B29" s="4" t="inlineStr">
        <is>
          <t>#5C6B70 · Trung vị chung</t>
        </is>
      </c>
    </row>
    <row r="31">
      <c r="A31" s="13" t="inlineStr">
        <is>
          <t>Sheets không vẽ được: dải nền 2 giai đoạn, mốc có đường dẫn, vạch trung vị trên thanh ngang, vùng 21 – 28 ngày, chấm nối nhau, nhãn 2 dòng. Các thông tin đó đã để thành bảng hoặc ghi chú ở từng trang tính.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70" customWidth="1" min="4" max="4"/>
  </cols>
  <sheetData>
    <row r="1">
      <c r="A1" s="1" t="inlineStr">
        <is>
          <t>Các ô số lớn</t>
        </is>
      </c>
    </row>
    <row r="2">
      <c r="A2" s="2" t="inlineStr">
        <is>
          <t>Ô số ở trang 3 (Tóm tắt), trang 11 (Thống kê website), trang 12 (Thống kê Fanpage) của PDF</t>
        </is>
      </c>
    </row>
    <row r="4">
      <c r="A4" s="5" t="inlineStr">
        <is>
          <t>Trang PDF</t>
        </is>
      </c>
      <c r="B4" s="5" t="inlineStr">
        <is>
          <t>Ô số</t>
        </is>
      </c>
      <c r="C4" s="5" t="inlineStr">
        <is>
          <t>Giá trị</t>
        </is>
      </c>
      <c r="D4" s="5" t="inlineStr">
        <is>
          <t>Ghi chú dưới số</t>
        </is>
      </c>
    </row>
    <row r="5">
      <c r="A5" s="4" t="inlineStr">
        <is>
          <t>Trang 3 · Tóm tắt</t>
        </is>
      </c>
      <c r="B5" s="4" t="inlineStr">
        <is>
          <t>Chương trình đã chạy</t>
        </is>
      </c>
      <c r="C5" s="14">
        <f>'Chương trình theo loại'!B13</f>
        <v>64.0</v>
      </c>
      <c r="D5" s="4" t="inlineStr">
        <is>
          <t>26 năm 2025 · 38 năm 2026. Fanpage đã báo thêm 20/10 và Halloween 2026</t>
        </is>
      </c>
    </row>
    <row r="6">
      <c r="A6" s="4" t="inlineStr">
        <is>
          <t>Trang 3 · Tóm tắt</t>
        </is>
      </c>
      <c r="B6" s="4" t="inlineStr">
        <is>
          <t>Lượt thích trên 2 Fanpage</t>
        </is>
      </c>
      <c r="C6" s="14" t="n">
        <v>12734</v>
      </c>
      <c r="D6" s="4" t="inlineStr">
        <is>
          <t>241 bài từ 20/10/2025; trung vị mỗi bài: trang Hotel 16, trang Café Lounge 4</t>
        </is>
      </c>
    </row>
    <row r="7">
      <c r="A7" s="4" t="inlineStr">
        <is>
          <t>Trang 3 · Tóm tắt</t>
        </is>
      </c>
      <c r="B7" s="4" t="inlineStr">
        <is>
          <t>Lượt thích, bài cao nhất</t>
        </is>
      </c>
      <c r="C7" s="14" t="n">
        <v>1825</v>
      </c>
      <c r="D7" s="4" t="inlineStr">
        <is>
          <t>Luxury Banquet, tiệc trọn gói từ 280k mỗi khách (26/02/2026)</t>
        </is>
      </c>
    </row>
    <row r="8">
      <c r="A8" s="4" t="inlineStr">
        <is>
          <t>Trang 11 · Website</t>
        </is>
      </c>
      <c r="B8" s="4" t="inlineStr">
        <is>
          <t>Bài đăng từ 01/2025</t>
        </is>
      </c>
      <c r="C8" s="14">
        <f>'Bài web theo nhóm'!D15</f>
        <v>66.0</v>
      </c>
      <c r="D8" s="4" t="inlineStr">
        <is>
          <t>2025: 36 bài · 2026: 30 bài (tới 09)</t>
        </is>
      </c>
    </row>
    <row r="9">
      <c r="A9" s="4" t="inlineStr">
        <is>
          <t>Trang 11 · Website</t>
        </is>
      </c>
      <c r="B9" s="4" t="inlineStr">
        <is>
          <t>Lượt xem cộng dồn</t>
        </is>
      </c>
      <c r="C9" s="14" t="n">
        <v>106438</v>
      </c>
      <c r="D9" s="4" t="inlineStr">
        <is>
          <t>65 bài có bộ đếm, tính tới 12/10/2026</t>
        </is>
      </c>
    </row>
    <row r="10">
      <c r="A10" s="4" t="inlineStr">
        <is>
          <t>Trang 11 · Website</t>
        </is>
      </c>
      <c r="B10" s="4" t="inlineStr">
        <is>
          <t>Lượt xem mỗi bài (trung vị)</t>
        </is>
      </c>
      <c r="C10" s="14">
        <f>'Top 10 bài web'!B15</f>
        <v>1349.0</v>
      </c>
      <c r="D10" s="4" t="inlineStr">
        <is>
          <t>Bài 2025: 1.673 · 2026: 966</t>
        </is>
      </c>
    </row>
    <row r="11">
      <c r="A11" s="4" t="inlineStr">
        <is>
          <t>Trang 11 · Website</t>
        </is>
      </c>
      <c r="B11" s="4" t="inlineStr">
        <is>
          <t>Lượt xem, bài cao nhất</t>
        </is>
      </c>
      <c r="C11" s="14">
        <f>MAX('Top 10 bài web'!B5:B14)</f>
        <v>12923.0</v>
      </c>
      <c r="D11" s="4" t="inlineStr">
        <is>
          <t>Cẩm nang "Top 9 con suối ở Nha Trang"</t>
        </is>
      </c>
    </row>
    <row r="12">
      <c r="A12" s="4" t="inlineStr">
        <is>
          <t>Trang 12 · Fanpage</t>
        </is>
      </c>
      <c r="B12" s="4" t="inlineStr">
        <is>
          <t>Bài trên 2 trang</t>
        </is>
      </c>
      <c r="C12" s="14">
        <f>SUM('Fanpage theo tháng'!B5:C17)</f>
        <v>241.0</v>
      </c>
      <c r="D12" s="4" t="inlineStr">
        <is>
          <t>Hotel 159 bài từ 20/10/2025; Café Lounge 82 bài từ 08/02/2026</t>
        </is>
      </c>
    </row>
    <row r="13">
      <c r="A13" s="4" t="inlineStr">
        <is>
          <t>Trang 12 · Fanpage</t>
        </is>
      </c>
      <c r="B13" s="4" t="inlineStr">
        <is>
          <t>Người theo dõi trang Hotel</t>
        </is>
      </c>
      <c r="C13" s="14" t="n">
        <v>1961</v>
      </c>
      <c r="D13" s="4" t="inlineStr">
        <is>
          <t>PDF gộp 2 số người theo dõi trong 1 ô: 1.961 · 490</t>
        </is>
      </c>
    </row>
    <row r="14">
      <c r="A14" s="4" t="inlineStr">
        <is>
          <t>Trang 12 · Fanpage</t>
        </is>
      </c>
      <c r="B14" s="4" t="inlineStr">
        <is>
          <t>Người theo dõi trang Café Lounge</t>
        </is>
      </c>
      <c r="C14" s="14" t="n">
        <v>490</v>
      </c>
      <c r="D14" s="4" t="inlineStr"/>
    </row>
    <row r="15">
      <c r="A15" s="4" t="inlineStr">
        <is>
          <t>Trang 12 · Fanpage</t>
        </is>
      </c>
      <c r="B15" s="4" t="inlineStr">
        <is>
          <t>Lượt thích</t>
        </is>
      </c>
      <c r="C15" s="14">
        <f>C6</f>
        <v>12734.0</v>
      </c>
      <c r="D15" s="4" t="inlineStr">
        <is>
          <t>748 bình luận, 543 chia sẻ</t>
        </is>
      </c>
    </row>
    <row r="16">
      <c r="A16" s="4" t="inlineStr">
        <is>
          <t>Trang 12 · Fanpage</t>
        </is>
      </c>
      <c r="B16" s="4" t="inlineStr">
        <is>
          <t>Lượt thích mỗi bài (trung vị), trang Hotel</t>
        </is>
      </c>
      <c r="C16" s="14" t="n">
        <v>16</v>
      </c>
      <c r="D16" s="4" t="inlineStr">
        <is>
          <t>PDF gộp 2 trung vị trong 1 ô: 16 · 4</t>
        </is>
      </c>
    </row>
    <row r="17">
      <c r="A17" s="4" t="inlineStr">
        <is>
          <t>Trang 12 · Fanpage</t>
        </is>
      </c>
      <c r="B17" s="4" t="inlineStr">
        <is>
          <t>Lượt thích mỗi bài (trung vị), trang Café Lounge</t>
        </is>
      </c>
      <c r="C17" s="14" t="n">
        <v>4</v>
      </c>
      <c r="D17" s="4" t="inlineStr"/>
    </row>
    <row r="19">
      <c r="A19" s="13" t="inlineStr">
        <is>
          <t>Ô có công thức lấy số từ các trang tính khác; các ô còn lại là số đã tính từ tim-hieu/bai-viet.csv, tim-hieu/bai-facebook.csv.</t>
        </is>
      </c>
    </row>
    <row r="20">
      <c r="A20" s="13" t="inlineStr">
        <is>
          <t>Người theo dõi: đếm trên 2 Fanpage ngày 12 – 13/10/2026 (tim-hieu/4-facebook.md).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3" customWidth="1" min="3" max="3"/>
    <col width="11" customWidth="1" min="4" max="4"/>
    <col width="13" customWidth="1" min="5" max="5"/>
    <col width="3" customWidth="1" min="6" max="6"/>
    <col width="14" customWidth="1" min="7" max="7"/>
    <col width="22" customWidth="1" min="8" max="8"/>
    <col width="30" customWidth="1" min="9" max="9"/>
  </cols>
  <sheetData>
    <row r="1">
      <c r="A1" s="1" t="inlineStr">
        <is>
          <t>Nhịp hoạt động theo tháng và các mốc chính</t>
        </is>
      </c>
    </row>
    <row r="2">
      <c r="A2" s="2" t="inlineStr">
        <is>
          <t>Số bài mỗi tháng trên web và trên 2 Fanpage, 01/2025 – 10/2026 · PDF trang 4</t>
        </is>
      </c>
    </row>
    <row r="4">
      <c r="A4" s="5" t="inlineStr">
        <is>
          <t>Tháng</t>
        </is>
      </c>
      <c r="B4" s="5" t="inlineStr">
        <is>
          <t>Bài web</t>
        </is>
      </c>
      <c r="D4" s="5" t="inlineStr">
        <is>
          <t>Tháng</t>
        </is>
      </c>
      <c r="E4" s="5" t="inlineStr">
        <is>
          <t>Bài Fanpage (2 trang)</t>
        </is>
      </c>
      <c r="G4" s="5" t="inlineStr">
        <is>
          <t>Giai đoạn</t>
        </is>
      </c>
      <c r="H4" s="5" t="inlineStr">
        <is>
          <t>Thời gian</t>
        </is>
      </c>
      <c r="I4" s="5" t="inlineStr">
        <is>
          <t>Tên</t>
        </is>
      </c>
    </row>
    <row r="5">
      <c r="A5" s="4" t="inlineStr">
        <is>
          <t>01/2025</t>
        </is>
      </c>
      <c r="B5" s="14" t="n">
        <v>1</v>
      </c>
      <c r="D5" s="4" t="inlineStr">
        <is>
          <t>01/2025</t>
        </is>
      </c>
      <c r="G5" s="4" t="inlineStr">
        <is>
          <t>1</t>
        </is>
      </c>
      <c r="H5" s="4" t="inlineStr">
        <is>
          <t>01/2025 – 11/2025</t>
        </is>
      </c>
      <c r="I5" s="4" t="inlineStr">
        <is>
          <t>Mở rộng dịch vụ</t>
        </is>
      </c>
    </row>
    <row r="6">
      <c r="A6" s="4" t="inlineStr">
        <is>
          <t>02/2025</t>
        </is>
      </c>
      <c r="B6" s="14" t="n">
        <v>1</v>
      </c>
      <c r="D6" s="4" t="inlineStr">
        <is>
          <t>02/2025</t>
        </is>
      </c>
      <c r="G6" s="4" t="inlineStr">
        <is>
          <t>2</t>
        </is>
      </c>
      <c r="H6" s="4" t="inlineStr">
        <is>
          <t>12/2025 – 10/2026</t>
        </is>
      </c>
      <c r="I6" s="4" t="inlineStr">
        <is>
          <t>Café Lounge và nghi lễ văn hóa</t>
        </is>
      </c>
    </row>
    <row r="7">
      <c r="A7" s="4" t="inlineStr">
        <is>
          <t>03/2025</t>
        </is>
      </c>
      <c r="B7" s="14" t="n">
        <v>3</v>
      </c>
      <c r="D7" s="4" t="inlineStr">
        <is>
          <t>03/2025</t>
        </is>
      </c>
    </row>
    <row r="8">
      <c r="A8" s="4" t="inlineStr">
        <is>
          <t>04/2025</t>
        </is>
      </c>
      <c r="B8" s="14" t="n">
        <v>1</v>
      </c>
      <c r="D8" s="4" t="inlineStr">
        <is>
          <t>04/2025</t>
        </is>
      </c>
    </row>
    <row r="9">
      <c r="A9" s="4" t="inlineStr">
        <is>
          <t>05/2025</t>
        </is>
      </c>
      <c r="B9" s="14" t="n">
        <v>0</v>
      </c>
      <c r="D9" s="4" t="inlineStr">
        <is>
          <t>05/2025</t>
        </is>
      </c>
      <c r="G9" s="5" t="inlineStr">
        <is>
          <t>Thời điểm</t>
        </is>
      </c>
      <c r="H9" s="5" t="inlineStr">
        <is>
          <t>Mốc chính</t>
        </is>
      </c>
    </row>
    <row r="10">
      <c r="A10" s="4" t="inlineStr">
        <is>
          <t>06/2025</t>
        </is>
      </c>
      <c r="B10" s="14" t="n">
        <v>0</v>
      </c>
      <c r="D10" s="4" t="inlineStr">
        <is>
          <t>06/2025</t>
        </is>
      </c>
      <c r="G10" s="4" t="inlineStr">
        <is>
          <t>05/2025</t>
        </is>
      </c>
      <c r="H10" s="4" t="inlineStr">
        <is>
          <t>Spa khai trương</t>
        </is>
      </c>
    </row>
    <row r="11">
      <c r="A11" s="4" t="inlineStr">
        <is>
          <t>07/2025</t>
        </is>
      </c>
      <c r="B11" s="14" t="n">
        <v>9</v>
      </c>
      <c r="D11" s="4" t="inlineStr">
        <is>
          <t>07/2025</t>
        </is>
      </c>
      <c r="G11" s="4" t="inlineStr">
        <is>
          <t>07/2025</t>
        </is>
      </c>
      <c r="H11" s="4" t="inlineStr">
        <is>
          <t>Kỷ niệm 1 năm</t>
        </is>
      </c>
    </row>
    <row r="12">
      <c r="A12" s="4" t="inlineStr">
        <is>
          <t>08/2025</t>
        </is>
      </c>
      <c r="B12" s="14" t="n">
        <v>10</v>
      </c>
      <c r="D12" s="4" t="inlineStr">
        <is>
          <t>08/2025</t>
        </is>
      </c>
      <c r="G12" s="4" t="inlineStr">
        <is>
          <t>12/2025</t>
        </is>
      </c>
      <c r="H12" s="4" t="inlineStr">
        <is>
          <t>Café Lounge mở cửa</t>
        </is>
      </c>
    </row>
    <row r="13">
      <c r="A13" s="4" t="inlineStr">
        <is>
          <t>09/2025</t>
        </is>
      </c>
      <c r="B13" s="14" t="n">
        <v>2</v>
      </c>
      <c r="D13" s="4" t="inlineStr">
        <is>
          <t>09/2025</t>
        </is>
      </c>
      <c r="G13" s="4" t="inlineStr">
        <is>
          <t>02/2026</t>
        </is>
      </c>
      <c r="H13" s="4" t="inlineStr">
        <is>
          <t>Tết, lịch nhạc sống</t>
        </is>
      </c>
    </row>
    <row r="14">
      <c r="A14" s="4" t="inlineStr">
        <is>
          <t>10/2025</t>
        </is>
      </c>
      <c r="B14" s="14" t="n">
        <v>4</v>
      </c>
      <c r="D14" s="4" t="inlineStr">
        <is>
          <t>10/2025</t>
        </is>
      </c>
      <c r="E14" s="14" t="n">
        <v>5</v>
      </c>
      <c r="G14" s="4" t="inlineStr">
        <is>
          <t>05/2026</t>
        </is>
      </c>
      <c r="H14" s="4" t="inlineStr">
        <is>
          <t>Gói hè Seasoulantics</t>
        </is>
      </c>
    </row>
    <row r="15">
      <c r="A15" s="4" t="inlineStr">
        <is>
          <t>11/2025</t>
        </is>
      </c>
      <c r="B15" s="14" t="n">
        <v>3</v>
      </c>
      <c r="D15" s="4" t="inlineStr">
        <is>
          <t>11/2025</t>
        </is>
      </c>
      <c r="E15" s="14" t="n">
        <v>9</v>
      </c>
      <c r="G15" s="4" t="inlineStr">
        <is>
          <t>05 – 09/2026</t>
        </is>
      </c>
      <c r="H15" s="4" t="inlineStr">
        <is>
          <t>Thả đèn hoa đăng 3 lần</t>
        </is>
      </c>
    </row>
    <row r="16">
      <c r="A16" s="4" t="inlineStr">
        <is>
          <t>12/2025</t>
        </is>
      </c>
      <c r="B16" s="14" t="n">
        <v>2</v>
      </c>
      <c r="D16" s="4" t="inlineStr">
        <is>
          <t>12/2025</t>
        </is>
      </c>
      <c r="E16" s="14" t="n">
        <v>10</v>
      </c>
    </row>
    <row r="17">
      <c r="A17" s="4" t="inlineStr">
        <is>
          <t>01/2026</t>
        </is>
      </c>
      <c r="B17" s="14" t="n">
        <v>1</v>
      </c>
      <c r="D17" s="4" t="inlineStr">
        <is>
          <t>01/2026</t>
        </is>
      </c>
      <c r="E17" s="14" t="n">
        <v>19</v>
      </c>
    </row>
    <row r="18">
      <c r="A18" s="4" t="inlineStr">
        <is>
          <t>02/2026</t>
        </is>
      </c>
      <c r="B18" s="14" t="n">
        <v>4</v>
      </c>
      <c r="D18" s="4" t="inlineStr">
        <is>
          <t>02/2026</t>
        </is>
      </c>
      <c r="E18" s="14" t="n">
        <v>41</v>
      </c>
    </row>
    <row r="19">
      <c r="A19" s="4" t="inlineStr">
        <is>
          <t>03/2026</t>
        </is>
      </c>
      <c r="B19" s="14" t="n">
        <v>2</v>
      </c>
      <c r="D19" s="4" t="inlineStr">
        <is>
          <t>03/2026</t>
        </is>
      </c>
      <c r="E19" s="14" t="n">
        <v>37</v>
      </c>
    </row>
    <row r="20">
      <c r="A20" s="4" t="inlineStr">
        <is>
          <t>04/2026</t>
        </is>
      </c>
      <c r="B20" s="14" t="n">
        <v>3</v>
      </c>
      <c r="D20" s="4" t="inlineStr">
        <is>
          <t>04/2026</t>
        </is>
      </c>
      <c r="E20" s="14" t="n">
        <v>31</v>
      </c>
    </row>
    <row r="21">
      <c r="A21" s="4" t="inlineStr">
        <is>
          <t>05/2026</t>
        </is>
      </c>
      <c r="B21" s="14" t="n">
        <v>4</v>
      </c>
      <c r="D21" s="4" t="inlineStr">
        <is>
          <t>05/2026</t>
        </is>
      </c>
      <c r="E21" s="14" t="n">
        <v>23</v>
      </c>
    </row>
    <row r="22">
      <c r="A22" s="4" t="inlineStr">
        <is>
          <t>06/2026</t>
        </is>
      </c>
      <c r="B22" s="14" t="n">
        <v>3</v>
      </c>
      <c r="D22" s="4" t="inlineStr">
        <is>
          <t>06/2026</t>
        </is>
      </c>
      <c r="E22" s="14" t="n">
        <v>21</v>
      </c>
    </row>
    <row r="23">
      <c r="A23" s="4" t="inlineStr">
        <is>
          <t>07/2026</t>
        </is>
      </c>
      <c r="B23" s="14" t="n">
        <v>3</v>
      </c>
      <c r="D23" s="4" t="inlineStr">
        <is>
          <t>07/2026</t>
        </is>
      </c>
      <c r="E23" s="14" t="n">
        <v>19</v>
      </c>
    </row>
    <row r="24">
      <c r="A24" s="4" t="inlineStr">
        <is>
          <t>08/2026</t>
        </is>
      </c>
      <c r="B24" s="14" t="n">
        <v>3</v>
      </c>
      <c r="D24" s="4" t="inlineStr">
        <is>
          <t>08/2026</t>
        </is>
      </c>
      <c r="E24" s="14" t="n">
        <v>12</v>
      </c>
    </row>
    <row r="25">
      <c r="A25" s="4" t="inlineStr">
        <is>
          <t>09/2026</t>
        </is>
      </c>
      <c r="B25" s="14" t="n">
        <v>7</v>
      </c>
      <c r="D25" s="4" t="inlineStr">
        <is>
          <t>09/2026</t>
        </is>
      </c>
      <c r="E25" s="14" t="n">
        <v>12</v>
      </c>
    </row>
    <row r="26">
      <c r="A26" s="4" t="inlineStr">
        <is>
          <t>10/2026</t>
        </is>
      </c>
      <c r="B26" s="14" t="n">
        <v>0</v>
      </c>
      <c r="D26" s="4" t="inlineStr">
        <is>
          <t>10/2026</t>
        </is>
      </c>
      <c r="E26" s="14" t="n">
        <v>2</v>
      </c>
    </row>
    <row r="28">
      <c r="A28" s="13" t="inlineStr">
        <is>
          <t>Fanpage: chưa có dữ liệu trước 20/10/2025 nên các ô để trống; tháng 10/2025 tính từ ngày 20.</t>
        </is>
      </c>
    </row>
    <row r="29">
      <c r="A29" s="13" t="inlineStr">
        <is>
          <t>Tháng 10/2026 chỉ tính tới ngày 12.</t>
        </is>
      </c>
    </row>
    <row r="30">
      <c r="A30" s="13" t="inlineStr">
        <is>
          <t>Nguồn: tim-hieu/bai-viet.csv (bài web có ngày đăng), tim-hieu/bai-facebook.csv (2 Fanpage).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</cols>
  <sheetData>
    <row r="1">
      <c r="A1" s="1" t="inlineStr">
        <is>
          <t>Số chương trình theo loại và năm</t>
        </is>
      </c>
    </row>
    <row r="2">
      <c r="A2" s="2" t="inlineStr">
        <is>
          <t>64 chương trình đã chạy, 01/2025 – 09/2026 · PDF trang 8</t>
        </is>
      </c>
    </row>
    <row r="4">
      <c r="A4" s="5" t="inlineStr">
        <is>
          <t>Loại chương trình</t>
        </is>
      </c>
      <c r="B4" s="5" t="inlineStr">
        <is>
          <t>2025</t>
        </is>
      </c>
      <c r="C4" s="5" t="inlineStr">
        <is>
          <t>2026 (tới 09)</t>
        </is>
      </c>
    </row>
    <row r="5">
      <c r="A5" s="4" t="inlineStr">
        <is>
          <t>Ăn uống &amp; giải trí</t>
        </is>
      </c>
      <c r="B5" s="14" t="n">
        <v>5</v>
      </c>
      <c r="C5" s="14" t="n">
        <v>14</v>
      </c>
    </row>
    <row r="6">
      <c r="A6" s="4" t="inlineStr">
        <is>
          <t>Sự kiện &amp; lễ hội</t>
        </is>
      </c>
      <c r="B6" s="14" t="n">
        <v>5</v>
      </c>
      <c r="C6" s="14" t="n">
        <v>7</v>
      </c>
    </row>
    <row r="7">
      <c r="A7" s="4" t="inlineStr">
        <is>
          <t>Tiệc, hội nghị &amp; B2B</t>
        </is>
      </c>
      <c r="B7" s="14" t="n">
        <v>4</v>
      </c>
      <c r="C7" s="14" t="n">
        <v>6</v>
      </c>
    </row>
    <row r="8">
      <c r="A8" s="4" t="inlineStr">
        <is>
          <t>Thương hiệu, CSR &amp; PR</t>
        </is>
      </c>
      <c r="B8" s="14" t="n">
        <v>3</v>
      </c>
      <c r="C8" s="14" t="n">
        <v>6</v>
      </c>
    </row>
    <row r="9">
      <c r="A9" s="4" t="inlineStr">
        <is>
          <t>Phòng &amp; gói lưu trú</t>
        </is>
      </c>
      <c r="B9" s="14" t="n">
        <v>6</v>
      </c>
      <c r="C9" s="14" t="n">
        <v>2</v>
      </c>
    </row>
    <row r="10">
      <c r="A10" s="4" t="inlineStr">
        <is>
          <t>Spa &amp; tiện ích</t>
        </is>
      </c>
      <c r="B10" s="14" t="n">
        <v>3</v>
      </c>
      <c r="C10" s="14" t="n">
        <v>3</v>
      </c>
    </row>
    <row r="12">
      <c r="A12" s="3" t="inlineStr">
        <is>
          <t>Tổng</t>
        </is>
      </c>
      <c r="B12" s="15">
        <f>SUM(B5:B10)</f>
        <v>26.0</v>
      </c>
      <c r="C12" s="15">
        <f>SUM(C5:C10)</f>
        <v>38.0</v>
      </c>
    </row>
    <row r="13">
      <c r="A13" s="3" t="inlineStr">
        <is>
          <t>Tổng cả hai năm</t>
        </is>
      </c>
      <c r="B13" s="15">
        <f>B12+C12</f>
        <v>64.0</v>
      </c>
    </row>
    <row r="15">
      <c r="A15" s="13" t="inlineStr">
        <is>
          <t>Chỉ tính chương trình đã chạy. Đêm violin 20/10 và Halloween 2026 mới được báo, chưa tính.</t>
        </is>
      </c>
    </row>
    <row r="16">
      <c r="A16" s="13" t="inlineStr">
        <is>
          <t>Nguồn: danh mục chương trình ở Phần 3 (trang 5 – 7) của PDF, lập từ web và 2 Fanpage.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1" t="inlineStr">
        <is>
          <t>Công bố trước bao nhiêu ngày</t>
        </is>
      </c>
    </row>
    <row r="2">
      <c r="A2" s="2" t="inlineStr">
        <is>
          <t>Từ bài công bố có chi tiết tới ngày diễn ra, web và Fanpage · PDF trang 10</t>
        </is>
      </c>
    </row>
    <row r="4">
      <c r="A4" s="5" t="inlineStr">
        <is>
          <t>Dịp</t>
        </is>
      </c>
      <c r="B4" s="5" t="inlineStr">
        <is>
          <t>Web</t>
        </is>
      </c>
      <c r="C4" s="5" t="inlineStr">
        <is>
          <t>Fanpage</t>
        </is>
      </c>
    </row>
    <row r="5">
      <c r="A5" s="4" t="inlineStr">
        <is>
          <t>Halloween 31/10/2025</t>
        </is>
      </c>
      <c r="C5" s="16" t="n">
        <v>2</v>
      </c>
    </row>
    <row r="6">
      <c r="A6" s="4" t="inlineStr">
        <is>
          <t>Thắp sáng cây thông 23/12/2025</t>
        </is>
      </c>
      <c r="B6" s="16" t="n">
        <v>7</v>
      </c>
      <c r="C6" s="16" t="n">
        <v>10</v>
      </c>
    </row>
    <row r="7">
      <c r="A7" s="4" t="inlineStr">
        <is>
          <t>Countdown 31/12/2025</t>
        </is>
      </c>
      <c r="B7" s="16" t="n">
        <v>6</v>
      </c>
      <c r="C7" s="16" t="n">
        <v>14</v>
      </c>
    </row>
    <row r="8">
      <c r="A8" s="4" t="inlineStr">
        <is>
          <t>Valentine 14/02/2026</t>
        </is>
      </c>
      <c r="B8" s="16" t="n">
        <v>5</v>
      </c>
      <c r="C8" s="16" t="n">
        <v>7</v>
      </c>
    </row>
    <row r="9">
      <c r="A9" s="4" t="inlineStr">
        <is>
          <t>8/3/2026</t>
        </is>
      </c>
      <c r="B9" s="16" t="n">
        <v>4</v>
      </c>
      <c r="C9" s="16" t="n">
        <v>6</v>
      </c>
    </row>
    <row r="10">
      <c r="A10" s="4" t="inlineStr">
        <is>
          <t>30/4/2026</t>
        </is>
      </c>
      <c r="B10" s="16" t="n">
        <v>3</v>
      </c>
      <c r="C10" s="16" t="n">
        <v>4</v>
      </c>
    </row>
    <row r="11">
      <c r="A11" s="4" t="inlineStr">
        <is>
          <t>Phật Đản 31/05/2026</t>
        </is>
      </c>
      <c r="B11" s="16" t="n">
        <v>4</v>
      </c>
      <c r="C11" s="16" t="n">
        <v>4</v>
      </c>
    </row>
    <row r="12">
      <c r="A12" s="4" t="inlineStr">
        <is>
          <t>Vu Lan, từ 22/08/2026</t>
        </is>
      </c>
      <c r="B12" s="16" t="n">
        <v>1</v>
      </c>
      <c r="C12" s="16" t="n">
        <v>1</v>
      </c>
    </row>
    <row r="13">
      <c r="A13" s="4" t="inlineStr">
        <is>
          <t>Quốc khánh 2/9/2026</t>
        </is>
      </c>
      <c r="B13" s="16" t="n">
        <v>-12</v>
      </c>
      <c r="C13" s="16" t="n">
        <v>6</v>
      </c>
    </row>
    <row r="14">
      <c r="A14" s="4" t="inlineStr">
        <is>
          <t>Seasoulantern 23/09/2026</t>
        </is>
      </c>
      <c r="B14" s="16" t="n">
        <v>5</v>
      </c>
      <c r="C14" s="16" t="n">
        <v>5</v>
      </c>
    </row>
    <row r="15">
      <c r="A15" s="4" t="inlineStr">
        <is>
          <t>Bánh Trung thu 2026</t>
        </is>
      </c>
      <c r="B15" s="16" t="n">
        <v>36</v>
      </c>
      <c r="C15" s="16" t="n">
        <v>21</v>
      </c>
    </row>
    <row r="17">
      <c r="A17" s="3" t="inlineStr">
        <is>
          <t>Trung vị (không tính bánh Trung thu)</t>
        </is>
      </c>
      <c r="B17" s="3">
        <f>MEDIAN(B5:B14)</f>
        <v>4.0</v>
      </c>
      <c r="C17" s="3">
        <f>MEDIAN(C5:C14)</f>
        <v>5.5</v>
      </c>
    </row>
    <row r="18">
      <c r="A18" s="3" t="inlineStr">
        <is>
          <t>Nên công bố trước</t>
        </is>
      </c>
      <c r="B18" s="3" t="inlineStr">
        <is>
          <t>21 – 28 ngày</t>
        </is>
      </c>
    </row>
    <row r="20">
      <c r="A20" s="13" t="inlineStr">
        <is>
          <t>Số âm là bài đăng sau ngày diễn ra: ô hiện "sau 12" nhưng giá trị là -12. Ô trống: kênh đó không có bài.</t>
        </is>
      </c>
    </row>
    <row r="21">
      <c r="A21" s="13" t="inlineStr">
        <is>
          <t>Trung vị không tính bánh Trung thu vì đó là sản phẩm, không phải sự kiện.</t>
        </is>
      </c>
    </row>
    <row r="22">
      <c r="A22" s="13" t="inlineStr">
        <is>
          <t>Nguồn: tim-hieu/3-phan-tich.md (mục 4.2) và tim-hieu/4-facebook.md (mục 6).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10" customWidth="1" min="4" max="4"/>
  </cols>
  <sheetData>
    <row r="1">
      <c r="A1" s="1" t="inlineStr">
        <is>
          <t>Số bài theo nhóm và năm</t>
        </is>
      </c>
    </row>
    <row r="2">
      <c r="A2" s="2" t="inlineStr">
        <is>
          <t>Bài trên web, năm 2026 tính tới hết tháng 9 · PDF trang 11</t>
        </is>
      </c>
    </row>
    <row r="4">
      <c r="A4" s="5" t="inlineStr">
        <is>
          <t>Nhóm</t>
        </is>
      </c>
      <c r="B4" s="5" t="inlineStr">
        <is>
          <t>2025</t>
        </is>
      </c>
      <c r="C4" s="5" t="inlineStr">
        <is>
          <t>2026 (tới 09)</t>
        </is>
      </c>
      <c r="D4" s="5" t="inlineStr">
        <is>
          <t>Tổng</t>
        </is>
      </c>
    </row>
    <row r="5">
      <c r="A5" s="4" t="inlineStr">
        <is>
          <t>Ăn uống</t>
        </is>
      </c>
      <c r="B5" s="17" t="n">
        <v>6</v>
      </c>
      <c r="C5" s="17" t="n">
        <v>8</v>
      </c>
      <c r="D5" s="14">
        <f>SUM(B5:C5)</f>
        <v>14.0</v>
      </c>
    </row>
    <row r="6">
      <c r="A6" s="4" t="inlineStr">
        <is>
          <t>Nhạc sống Café Lounge</t>
        </is>
      </c>
      <c r="B6" s="17" t="n">
        <v>0</v>
      </c>
      <c r="C6" s="17" t="n">
        <v>7</v>
      </c>
      <c r="D6" s="14">
        <f>SUM(B6:C6)</f>
        <v>7.0</v>
      </c>
    </row>
    <row r="7">
      <c r="A7" s="4" t="inlineStr">
        <is>
          <t>Sự kiện lễ hội, văn hóa</t>
        </is>
      </c>
      <c r="B7" s="17" t="n">
        <v>4</v>
      </c>
      <c r="C7" s="17" t="n">
        <v>4</v>
      </c>
      <c r="D7" s="14">
        <f>SUM(B7:C7)</f>
        <v>8.0</v>
      </c>
    </row>
    <row r="8">
      <c r="A8" s="4" t="inlineStr">
        <is>
          <t>Cẩm nang du lịch (SEO)</t>
        </is>
      </c>
      <c r="B8" s="17" t="n">
        <v>5</v>
      </c>
      <c r="C8" s="17" t="n">
        <v>4</v>
      </c>
      <c r="D8" s="14">
        <f>SUM(B8:C8)</f>
        <v>9.0</v>
      </c>
    </row>
    <row r="9">
      <c r="A9" s="4" t="inlineStr">
        <is>
          <t>Thương hiệu, CSR</t>
        </is>
      </c>
      <c r="B9" s="17" t="n">
        <v>4</v>
      </c>
      <c r="C9" s="17" t="n">
        <v>3</v>
      </c>
      <c r="D9" s="14">
        <f>SUM(B9:C9)</f>
        <v>7.0</v>
      </c>
    </row>
    <row r="10">
      <c r="A10" s="4" t="inlineStr">
        <is>
          <t>Chính sách, thông báo</t>
        </is>
      </c>
      <c r="B10" s="17" t="n">
        <v>1</v>
      </c>
      <c r="C10" s="17" t="n">
        <v>2</v>
      </c>
      <c r="D10" s="14">
        <f>SUM(B10:C10)</f>
        <v>3.0</v>
      </c>
    </row>
    <row r="11">
      <c r="A11" s="4" t="inlineStr">
        <is>
          <t>Phòng, gói lưu trú</t>
        </is>
      </c>
      <c r="B11" s="17" t="n">
        <v>5</v>
      </c>
      <c r="C11" s="17" t="n">
        <v>1</v>
      </c>
      <c r="D11" s="14">
        <f>SUM(B11:C11)</f>
        <v>6.0</v>
      </c>
    </row>
    <row r="12">
      <c r="A12" s="4" t="inlineStr">
        <is>
          <t>Spa</t>
        </is>
      </c>
      <c r="B12" s="17" t="n">
        <v>5</v>
      </c>
      <c r="C12" s="17" t="n">
        <v>1</v>
      </c>
      <c r="D12" s="14">
        <f>SUM(B12:C12)</f>
        <v>6.0</v>
      </c>
    </row>
    <row r="13">
      <c r="A13" s="4" t="inlineStr">
        <is>
          <t>Hồ bơi, pool bar, gym</t>
        </is>
      </c>
      <c r="B13" s="17" t="n">
        <v>3</v>
      </c>
      <c r="C13" s="17" t="n">
        <v>0</v>
      </c>
      <c r="D13" s="14">
        <f>SUM(B13:C13)</f>
        <v>3.0</v>
      </c>
    </row>
    <row r="14">
      <c r="A14" s="4" t="inlineStr">
        <is>
          <t>Hội nghị, tiệc, doanh nghiệp</t>
        </is>
      </c>
      <c r="B14" s="17" t="n">
        <v>3</v>
      </c>
      <c r="C14" s="17" t="n">
        <v>0</v>
      </c>
      <c r="D14" s="14">
        <f>SUM(B14:C14)</f>
        <v>3.0</v>
      </c>
    </row>
    <row r="15">
      <c r="A15" s="18" t="inlineStr">
        <is>
          <t>Tổng</t>
        </is>
      </c>
      <c r="B15" s="19">
        <f>SUM(B5:B14)</f>
        <v>36.0</v>
      </c>
      <c r="C15" s="19">
        <f>SUM(C5:C14)</f>
        <v>30.0</v>
      </c>
      <c r="D15" s="19">
        <f>SUM(D5:D14)</f>
        <v>66.0</v>
      </c>
    </row>
    <row r="17">
      <c r="A17" s="13" t="inlineStr">
        <is>
          <t>Ô càng đậm càng nhiều bài; dấu "·" là 0. Màu đã cài sẵn bằng định dạng có điều kiện, không cần vẽ biểu đồ.</t>
        </is>
      </c>
    </row>
    <row r="18">
      <c r="A18" s="13" t="inlineStr">
        <is>
          <t>Nguồn: tim-hieu/bai-viet.csv (cột nhom_san_pham), bài đăng từ 01/2025.</t>
        </is>
      </c>
    </row>
  </sheetData>
  <conditionalFormatting sqref="B5:C14">
    <cfRule type="colorScale" priority="1">
      <colorScale>
        <cfvo type="num" val="0"/>
        <cfvo type="num" val="8"/>
        <color rgb="00FFFFFF"/>
        <color rgb="002689A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3" customWidth="1" min="3" max="3"/>
    <col width="12" customWidth="1" min="4" max="4"/>
    <col width="12" customWidth="1" min="5" max="5"/>
  </cols>
  <sheetData>
    <row r="1">
      <c r="A1" s="1" t="inlineStr">
        <is>
          <t>Mười bài có nhiều lượt xem nhất</t>
        </is>
      </c>
    </row>
    <row r="2">
      <c r="A2" s="2" t="inlineStr">
        <is>
          <t>Lượt xem cộng dồn tới 12/10/2026 · PDF trang 11</t>
        </is>
      </c>
    </row>
    <row r="4">
      <c r="A4" s="5" t="inlineStr">
        <is>
          <t>Bài viết</t>
        </is>
      </c>
      <c r="B4" s="5" t="inlineStr">
        <is>
          <t>Lượt xem</t>
        </is>
      </c>
      <c r="D4" s="5" t="inlineStr">
        <is>
          <t>Loại bài</t>
        </is>
      </c>
      <c r="E4" s="5" t="inlineStr">
        <is>
          <t>Tháng đăng</t>
        </is>
      </c>
    </row>
    <row r="5">
      <c r="A5" s="4" t="inlineStr">
        <is>
          <t>Top 9 con suối ở Nha Trang</t>
        </is>
      </c>
      <c r="B5" s="14" t="n">
        <v>12923</v>
      </c>
      <c r="D5" s="4" t="inlineStr">
        <is>
          <t>cẩm nang</t>
        </is>
      </c>
      <c r="E5" s="4" t="inlineStr">
        <is>
          <t>03/2025</t>
        </is>
      </c>
    </row>
    <row r="6">
      <c r="A6" s="4" t="inlineStr">
        <is>
          <t>Sea Soul Spa khai trương</t>
        </is>
      </c>
      <c r="B6" s="14" t="n">
        <v>6146</v>
      </c>
      <c r="D6" s="4" t="inlineStr">
        <is>
          <t>ra mắt</t>
        </is>
      </c>
      <c r="E6" s="4" t="inlineStr">
        <is>
          <t>04/2025</t>
        </is>
      </c>
    </row>
    <row r="7">
      <c r="A7" s="4" t="inlineStr">
        <is>
          <t>Đặt phòng trực tiếp nhận quà spa</t>
        </is>
      </c>
      <c r="B7" s="14" t="n">
        <v>3758</v>
      </c>
      <c r="D7" s="4" t="inlineStr">
        <is>
          <t>ưu đãi</t>
        </is>
      </c>
      <c r="E7" s="4" t="inlineStr">
        <is>
          <t>07/2025</t>
        </is>
      </c>
    </row>
    <row r="8">
      <c r="A8" s="4" t="inlineStr">
        <is>
          <t>Countdown 2026, khai trương Café Lounge</t>
        </is>
      </c>
      <c r="B8" s="14" t="n">
        <v>3725</v>
      </c>
      <c r="D8" s="4" t="inlineStr">
        <is>
          <t>sự kiện</t>
        </is>
      </c>
      <c r="E8" s="4" t="inlineStr">
        <is>
          <t>12/2025</t>
        </is>
      </c>
    </row>
    <row r="9">
      <c r="A9" s="4" t="inlineStr">
        <is>
          <t>Kinh nghiệm du lịch Nha Trang – Đà Lạt</t>
        </is>
      </c>
      <c r="B9" s="14" t="n">
        <v>3369</v>
      </c>
      <c r="D9" s="4" t="inlineStr">
        <is>
          <t>cẩm nang</t>
        </is>
      </c>
      <c r="E9" s="4" t="inlineStr">
        <is>
          <t>10/2025</t>
        </is>
      </c>
    </row>
    <row r="10">
      <c r="A10" s="4" t="inlineStr">
        <is>
          <t>Lịch trình Nha Trang 2 ngày 1 đêm</t>
        </is>
      </c>
      <c r="B10" s="14" t="n">
        <v>2566</v>
      </c>
      <c r="D10" s="4" t="inlineStr">
        <is>
          <t>cẩm nang</t>
        </is>
      </c>
      <c r="E10" s="4" t="inlineStr">
        <is>
          <t>03/2025</t>
        </is>
      </c>
    </row>
    <row r="11">
      <c r="A11" s="4" t="inlineStr">
        <is>
          <t>Mua gói spa Signature, tặng thêm dịch vụ</t>
        </is>
      </c>
      <c r="B11" s="14" t="n">
        <v>2045</v>
      </c>
      <c r="D11" s="4" t="inlineStr">
        <is>
          <t>spa</t>
        </is>
      </c>
      <c r="E11" s="4" t="inlineStr">
        <is>
          <t>07/2025</t>
        </is>
      </c>
    </row>
    <row r="12">
      <c r="A12" s="4" t="inlineStr">
        <is>
          <t>Chuỗi hoạt động Tết 2026</t>
        </is>
      </c>
      <c r="B12" s="14" t="n">
        <v>2040</v>
      </c>
      <c r="D12" s="4" t="inlineStr">
        <is>
          <t>sự kiện</t>
        </is>
      </c>
      <c r="E12" s="4" t="inlineStr">
        <is>
          <t>01/2026</t>
        </is>
      </c>
    </row>
    <row r="13">
      <c r="A13" s="4" t="inlineStr">
        <is>
          <t>Lịch diễn nhạc sống tháng 2</t>
        </is>
      </c>
      <c r="B13" s="14" t="n">
        <v>2034</v>
      </c>
      <c r="D13" s="4" t="inlineStr">
        <is>
          <t>nhạc sống</t>
        </is>
      </c>
      <c r="E13" s="4" t="inlineStr">
        <is>
          <t>02/2026</t>
        </is>
      </c>
    </row>
    <row r="14">
      <c r="A14" s="4" t="inlineStr">
        <is>
          <t>Đồ uống mừng 2/9 "Raise Your Glass"</t>
        </is>
      </c>
      <c r="B14" s="14" t="n">
        <v>2033</v>
      </c>
      <c r="D14" s="4" t="inlineStr">
        <is>
          <t>ăn uống</t>
        </is>
      </c>
      <c r="E14" s="4" t="inlineStr">
        <is>
          <t>08/2025</t>
        </is>
      </c>
    </row>
    <row r="15">
      <c r="A15" s="20" t="inlineStr">
        <is>
          <t>Trung vị mọi bài</t>
        </is>
      </c>
      <c r="B15" s="21" t="n">
        <v>1349</v>
      </c>
    </row>
    <row r="17">
      <c r="A17" s="13" t="inlineStr">
        <is>
          <t>Dòng "Trung vị mọi bài" thay cho vạch vàng trong PDF: trung vị của 65 bài có bộ đếm, đăng từ 01/2025.</t>
        </is>
      </c>
    </row>
    <row r="18">
      <c r="A18" s="13" t="inlineStr">
        <is>
          <t>Cột Loại bài, Tháng đăng chỉ để tham khảo, không đưa vào biểu đồ.</t>
        </is>
      </c>
    </row>
    <row r="19">
      <c r="A19" s="13" t="inlineStr">
        <is>
          <t>Nguồn: tim-hieu/bai-viet.csv (lượt xem lấy từ bộ đếm trên web ngày 12/10/2026).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3" customWidth="1" min="4" max="4"/>
    <col width="11" customWidth="1" min="5" max="5"/>
    <col width="18" customWidth="1" min="6" max="6"/>
    <col width="3" customWidth="1" min="7" max="7"/>
    <col width="11" customWidth="1" min="8" max="8"/>
    <col width="18" customWidth="1" min="9" max="9"/>
  </cols>
  <sheetData>
    <row r="1">
      <c r="A1" s="1" t="inlineStr">
        <is>
          <t>Nhịp đăng và mức phản hồi theo tháng</t>
        </is>
      </c>
    </row>
    <row r="2">
      <c r="A2" s="2" t="inlineStr">
        <is>
          <t>Số bài của 2 trang; trung vị lượt thích mỗi bài của trang Hotel; số bài trên 100 lượt thích · PDF trang 12</t>
        </is>
      </c>
    </row>
    <row r="4" ht="40" customHeight="1">
      <c r="A4" s="5" t="inlineStr">
        <is>
          <t>Tháng</t>
        </is>
      </c>
      <c r="B4" s="5" t="inlineStr">
        <is>
          <t>Sea Soul Hotel</t>
        </is>
      </c>
      <c r="C4" s="5" t="inlineStr">
        <is>
          <t>Sea Soul Café Lounge</t>
        </is>
      </c>
      <c r="E4" s="5" t="inlineStr">
        <is>
          <t>Tháng</t>
        </is>
      </c>
      <c r="F4" s="5" t="inlineStr">
        <is>
          <t>Trung vị lượt thích mỗi bài (trang Hotel)</t>
        </is>
      </c>
      <c r="H4" s="5" t="inlineStr">
        <is>
          <t>Tháng</t>
        </is>
      </c>
      <c r="I4" s="5" t="inlineStr">
        <is>
          <t>Số bài trên 100 lượt thích (trang Hotel)</t>
        </is>
      </c>
    </row>
    <row r="5">
      <c r="A5" s="4" t="inlineStr">
        <is>
          <t>10/2025</t>
        </is>
      </c>
      <c r="B5" s="14" t="n">
        <v>5</v>
      </c>
      <c r="E5" s="4" t="inlineStr">
        <is>
          <t>10/2025</t>
        </is>
      </c>
      <c r="F5" s="4" t="n">
        <v>44</v>
      </c>
      <c r="H5" s="4" t="inlineStr">
        <is>
          <t>10/2025</t>
        </is>
      </c>
      <c r="I5" s="14" t="n">
        <v>0</v>
      </c>
    </row>
    <row r="6">
      <c r="A6" s="4" t="inlineStr">
        <is>
          <t>11/2025</t>
        </is>
      </c>
      <c r="B6" s="14" t="n">
        <v>9</v>
      </c>
      <c r="E6" s="4" t="inlineStr">
        <is>
          <t>11/2025</t>
        </is>
      </c>
      <c r="F6" s="4" t="n">
        <v>33</v>
      </c>
      <c r="H6" s="4" t="inlineStr">
        <is>
          <t>11/2025</t>
        </is>
      </c>
      <c r="I6" s="14" t="n">
        <v>3</v>
      </c>
    </row>
    <row r="7">
      <c r="A7" s="4" t="inlineStr">
        <is>
          <t>12/2025</t>
        </is>
      </c>
      <c r="B7" s="14" t="n">
        <v>10</v>
      </c>
      <c r="E7" s="4" t="inlineStr">
        <is>
          <t>12/2025</t>
        </is>
      </c>
      <c r="F7" s="4" t="n">
        <v>22.5</v>
      </c>
      <c r="H7" s="4" t="inlineStr">
        <is>
          <t>12/2025</t>
        </is>
      </c>
      <c r="I7" s="14" t="n">
        <v>2</v>
      </c>
    </row>
    <row r="8">
      <c r="A8" s="4" t="inlineStr">
        <is>
          <t>01/2026</t>
        </is>
      </c>
      <c r="B8" s="14" t="n">
        <v>19</v>
      </c>
      <c r="E8" s="4" t="inlineStr">
        <is>
          <t>01/2026</t>
        </is>
      </c>
      <c r="F8" s="4" t="n">
        <v>25</v>
      </c>
      <c r="H8" s="4" t="inlineStr">
        <is>
          <t>01/2026</t>
        </is>
      </c>
      <c r="I8" s="14" t="n">
        <v>4</v>
      </c>
    </row>
    <row r="9">
      <c r="A9" s="4" t="inlineStr">
        <is>
          <t>02/2026</t>
        </is>
      </c>
      <c r="B9" s="14" t="n">
        <v>19</v>
      </c>
      <c r="C9" s="14" t="n">
        <v>22</v>
      </c>
      <c r="E9" s="4" t="inlineStr">
        <is>
          <t>02/2026</t>
        </is>
      </c>
      <c r="F9" s="4" t="n">
        <v>35</v>
      </c>
      <c r="H9" s="4" t="inlineStr">
        <is>
          <t>02/2026</t>
        </is>
      </c>
      <c r="I9" s="14" t="n">
        <v>4</v>
      </c>
    </row>
    <row r="10">
      <c r="A10" s="4" t="inlineStr">
        <is>
          <t>03/2026</t>
        </is>
      </c>
      <c r="B10" s="14" t="n">
        <v>19</v>
      </c>
      <c r="C10" s="14" t="n">
        <v>18</v>
      </c>
      <c r="E10" s="4" t="inlineStr">
        <is>
          <t>03/2026</t>
        </is>
      </c>
      <c r="F10" s="4" t="n">
        <v>11</v>
      </c>
      <c r="H10" s="4" t="inlineStr">
        <is>
          <t>03/2026</t>
        </is>
      </c>
      <c r="I10" s="14" t="n">
        <v>4</v>
      </c>
    </row>
    <row r="11">
      <c r="A11" s="4" t="inlineStr">
        <is>
          <t>04/2026</t>
        </is>
      </c>
      <c r="B11" s="14" t="n">
        <v>19</v>
      </c>
      <c r="C11" s="14" t="n">
        <v>12</v>
      </c>
      <c r="E11" s="4" t="inlineStr">
        <is>
          <t>04/2026</t>
        </is>
      </c>
      <c r="F11" s="4" t="n">
        <v>17</v>
      </c>
      <c r="H11" s="4" t="inlineStr">
        <is>
          <t>04/2026</t>
        </is>
      </c>
      <c r="I11" s="14" t="n">
        <v>1</v>
      </c>
    </row>
    <row r="12">
      <c r="A12" s="4" t="inlineStr">
        <is>
          <t>05/2026</t>
        </is>
      </c>
      <c r="B12" s="14" t="n">
        <v>14</v>
      </c>
      <c r="C12" s="14" t="n">
        <v>9</v>
      </c>
      <c r="E12" s="4" t="inlineStr">
        <is>
          <t>05/2026</t>
        </is>
      </c>
      <c r="F12" s="4" t="n">
        <v>13.5</v>
      </c>
      <c r="H12" s="4" t="inlineStr">
        <is>
          <t>05/2026</t>
        </is>
      </c>
      <c r="I12" s="14" t="n">
        <v>4</v>
      </c>
    </row>
    <row r="13">
      <c r="A13" s="4" t="inlineStr">
        <is>
          <t>06/2026</t>
        </is>
      </c>
      <c r="B13" s="14" t="n">
        <v>11</v>
      </c>
      <c r="C13" s="14" t="n">
        <v>10</v>
      </c>
      <c r="E13" s="4" t="inlineStr">
        <is>
          <t>06/2026</t>
        </is>
      </c>
      <c r="F13" s="4" t="n">
        <v>14</v>
      </c>
      <c r="H13" s="4" t="inlineStr">
        <is>
          <t>06/2026</t>
        </is>
      </c>
      <c r="I13" s="14" t="n">
        <v>1</v>
      </c>
    </row>
    <row r="14">
      <c r="A14" s="4" t="inlineStr">
        <is>
          <t>07/2026</t>
        </is>
      </c>
      <c r="B14" s="14" t="n">
        <v>11</v>
      </c>
      <c r="C14" s="14" t="n">
        <v>8</v>
      </c>
      <c r="E14" s="4" t="inlineStr">
        <is>
          <t>07/2026</t>
        </is>
      </c>
      <c r="F14" s="4" t="n">
        <v>11</v>
      </c>
      <c r="H14" s="4" t="inlineStr">
        <is>
          <t>07/2026</t>
        </is>
      </c>
      <c r="I14" s="14" t="n">
        <v>1</v>
      </c>
    </row>
    <row r="15">
      <c r="A15" s="4" t="inlineStr">
        <is>
          <t>08/2026</t>
        </is>
      </c>
      <c r="B15" s="14" t="n">
        <v>11</v>
      </c>
      <c r="C15" s="14" t="n">
        <v>1</v>
      </c>
      <c r="E15" s="4" t="inlineStr">
        <is>
          <t>08/2026</t>
        </is>
      </c>
      <c r="F15" s="4" t="n">
        <v>9</v>
      </c>
      <c r="H15" s="4" t="inlineStr">
        <is>
          <t>08/2026</t>
        </is>
      </c>
      <c r="I15" s="14" t="n">
        <v>0</v>
      </c>
    </row>
    <row r="16">
      <c r="A16" s="4" t="inlineStr">
        <is>
          <t>09/2026</t>
        </is>
      </c>
      <c r="B16" s="14" t="n">
        <v>10</v>
      </c>
      <c r="C16" s="14" t="n">
        <v>2</v>
      </c>
      <c r="E16" s="4" t="inlineStr">
        <is>
          <t>09/2026</t>
        </is>
      </c>
      <c r="F16" s="4" t="n">
        <v>8.5</v>
      </c>
      <c r="H16" s="4" t="inlineStr">
        <is>
          <t>09/2026</t>
        </is>
      </c>
      <c r="I16" s="14" t="n">
        <v>1</v>
      </c>
    </row>
    <row r="17">
      <c r="A17" s="4" t="inlineStr">
        <is>
          <t>10/2026</t>
        </is>
      </c>
      <c r="B17" s="14" t="n">
        <v>2</v>
      </c>
      <c r="C17" s="14" t="n">
        <v>0</v>
      </c>
      <c r="E17" s="4" t="inlineStr">
        <is>
          <t>10/2026</t>
        </is>
      </c>
      <c r="F17" s="4" t="n">
        <v>4</v>
      </c>
      <c r="H17" s="4" t="inlineStr">
        <is>
          <t>10/2026</t>
        </is>
      </c>
      <c r="I17" s="14" t="n">
        <v>0</v>
      </c>
    </row>
    <row r="19">
      <c r="A19" s="13" t="inlineStr">
        <is>
          <t>Tháng 10/2025 tính từ ngày 20. Tháng 10/2026 chỉ có 2 bài (tới ngày 12): trong PDF vẽ bằng chấm rỗng.</t>
        </is>
      </c>
    </row>
    <row r="20">
      <c r="A20" s="13" t="inlineStr">
        <is>
          <t>Trang Café Lounge bắt đầu đăng từ 08/02/2026 nên các tháng trước để trống.</t>
        </is>
      </c>
    </row>
    <row r="21">
      <c r="A21" s="13" t="inlineStr">
        <is>
          <t>Nguồn: tim-hieu/bai-facebook.csv (241 bài, quét ngày 12 – 13/10/2026).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3" customWidth="1" min="3" max="3"/>
    <col width="34" customWidth="1" min="4" max="4"/>
    <col width="14" customWidth="1" min="5" max="5"/>
  </cols>
  <sheetData>
    <row r="1">
      <c r="A1" s="1" t="inlineStr">
        <is>
          <t>Đăng nhiều chưa chắc được thích nhiều</t>
        </is>
      </c>
    </row>
    <row r="2">
      <c r="A2" s="2" t="inlineStr">
        <is>
          <t>Trang Hotel, năm 2026: số bài và trung vị lượt thích mỗi bài theo nhóm nội dung · PDF trang 13</t>
        </is>
      </c>
    </row>
    <row r="4">
      <c r="A4" s="5" t="inlineStr">
        <is>
          <t>Nhóm nội dung</t>
        </is>
      </c>
      <c r="B4" s="5" t="inlineStr">
        <is>
          <t>Số bài</t>
        </is>
      </c>
      <c r="D4" s="5" t="inlineStr">
        <is>
          <t>Nhóm nội dung</t>
        </is>
      </c>
      <c r="E4" s="5" t="inlineStr">
        <is>
          <t>Trung vị lượt thích mỗi bài</t>
        </is>
      </c>
    </row>
    <row r="5">
      <c r="A5" s="4" t="inlineStr">
        <is>
          <t>Ăn uống</t>
        </is>
      </c>
      <c r="B5" s="14" t="n">
        <v>49</v>
      </c>
      <c r="D5" s="4" t="inlineStr">
        <is>
          <t>Ăn uống</t>
        </is>
      </c>
      <c r="E5" s="4" t="n">
        <v>18</v>
      </c>
    </row>
    <row r="6">
      <c r="A6" s="4" t="inlineStr">
        <is>
          <t>Sự kiện, dịp lễ</t>
        </is>
      </c>
      <c r="B6" s="14" t="n">
        <v>25</v>
      </c>
      <c r="D6" s="4" t="inlineStr">
        <is>
          <t>Sự kiện, dịp lễ</t>
        </is>
      </c>
      <c r="E6" s="4" t="n">
        <v>15</v>
      </c>
    </row>
    <row r="7">
      <c r="A7" s="4" t="inlineStr">
        <is>
          <t>Phòng &amp; lưu trú</t>
        </is>
      </c>
      <c r="B7" s="14" t="n">
        <v>14</v>
      </c>
      <c r="D7" s="4" t="inlineStr">
        <is>
          <t>Phòng &amp; lưu trú</t>
        </is>
      </c>
      <c r="E7" s="4" t="n">
        <v>10.5</v>
      </c>
    </row>
    <row r="8">
      <c r="A8" s="4" t="inlineStr">
        <is>
          <t>Nhạc sống</t>
        </is>
      </c>
      <c r="B8" s="14" t="n">
        <v>14</v>
      </c>
      <c r="D8" s="4" t="inlineStr">
        <is>
          <t>Nhạc sống</t>
        </is>
      </c>
      <c r="E8" s="4" t="n">
        <v>10</v>
      </c>
    </row>
    <row r="9">
      <c r="A9" s="4" t="inlineStr">
        <is>
          <t>Tiệc, hội nghị, sinh nhật</t>
        </is>
      </c>
      <c r="B9" s="14" t="n">
        <v>9</v>
      </c>
      <c r="D9" s="4" t="inlineStr">
        <is>
          <t>Tiệc, hội nghị, sinh nhật</t>
        </is>
      </c>
      <c r="E9" s="4" t="n">
        <v>27</v>
      </c>
    </row>
    <row r="10">
      <c r="A10" s="4" t="inlineStr">
        <is>
          <t>Spa</t>
        </is>
      </c>
      <c r="B10" s="14" t="n">
        <v>6</v>
      </c>
      <c r="D10" s="4" t="inlineStr">
        <is>
          <t>Spa</t>
        </is>
      </c>
      <c r="E10" s="4" t="n">
        <v>11.5</v>
      </c>
    </row>
    <row r="11">
      <c r="A11" s="4" t="inlineStr">
        <is>
          <t>Thương hiệu, CSR</t>
        </is>
      </c>
      <c r="B11" s="14" t="n">
        <v>2</v>
      </c>
      <c r="D11" s="4" t="inlineStr">
        <is>
          <t>Thương hiệu, CSR</t>
        </is>
      </c>
    </row>
    <row r="12">
      <c r="A12" s="4" t="inlineStr">
        <is>
          <t>Hồ bơi, tiện ích</t>
        </is>
      </c>
      <c r="B12" s="14" t="n">
        <v>2</v>
      </c>
      <c r="D12" s="4" t="inlineStr">
        <is>
          <t>Hồ bơi, tiện ích</t>
        </is>
      </c>
    </row>
    <row r="13">
      <c r="A13" s="4" t="inlineStr">
        <is>
          <t>Khác, không có chữ, thông báo</t>
        </is>
      </c>
      <c r="B13" s="14" t="n">
        <v>14</v>
      </c>
      <c r="D13" s="4" t="inlineStr">
        <is>
          <t>Khác, không có chữ, thông báo</t>
        </is>
      </c>
      <c r="E13" s="4" t="n">
        <v>12.5</v>
      </c>
    </row>
    <row r="14">
      <c r="D14" s="20" t="inlineStr">
        <is>
          <t>Trung vị chung (mọi bài năm 2026)</t>
        </is>
      </c>
      <c r="E14" s="20" t="n">
        <v>14</v>
      </c>
    </row>
    <row r="16">
      <c r="A16" s="13" t="inlineStr">
        <is>
          <t>Nhóm dưới 5 bài không tính trung vị nên ô để trống. "Hồ bơi, tiện ích" có 2 bài, trong đó video khu lái xe tải cho bé được 556 lượt thích.</t>
        </is>
      </c>
    </row>
    <row r="17">
      <c r="A17" s="13" t="inlineStr">
        <is>
          <t>PDF tô màu nhóm "Tiệc, hội nghị, sinh nhật", các nhóm khác màu xám. Nhóm do máy phân loại theo tiêu đề nên có thể lệch vài bài.</t>
        </is>
      </c>
    </row>
    <row r="18">
      <c r="A18" s="13" t="inlineStr">
        <is>
          <t>Nguồn: tim-hieu/bai-facebook.csv (cột nhom), 159 bài của trang Hotel.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3" customWidth="1" min="4" max="4"/>
    <col width="48" customWidth="1" min="5" max="5"/>
    <col width="12" customWidth="1" min="6" max="6"/>
  </cols>
  <sheetData>
    <row r="1">
      <c r="A1" s="1" t="inlineStr">
        <is>
          <t>Những yếu tố đi kèm lượt thích cao hơn</t>
        </is>
      </c>
    </row>
    <row r="2">
      <c r="A2" s="2" t="inlineStr">
        <is>
          <t>Trang Hotel, trung vị lượt thích mỗi bài khi có và khi không có từng yếu tố · PDF trang 13</t>
        </is>
      </c>
    </row>
    <row r="4">
      <c r="A4" s="5" t="inlineStr">
        <is>
          <t>Yếu tố</t>
        </is>
      </c>
      <c r="B4" s="5" t="inlineStr">
        <is>
          <t>Có yếu tố</t>
        </is>
      </c>
      <c r="C4" s="5" t="inlineStr">
        <is>
          <t>Không có</t>
        </is>
      </c>
      <c r="E4" s="5" t="inlineStr">
        <is>
          <t>So sánh</t>
        </is>
      </c>
      <c r="F4" s="5" t="inlineStr">
        <is>
          <t>Gấp bao nhiêu lần</t>
        </is>
      </c>
    </row>
    <row r="5">
      <c r="A5" s="4" t="inlineStr">
        <is>
          <t>Ghi giá cụ thể</t>
        </is>
      </c>
      <c r="B5" s="4" t="n">
        <v>48</v>
      </c>
      <c r="C5" s="4" t="n">
        <v>14.5</v>
      </c>
      <c r="E5" s="4" t="inlineStr">
        <is>
          <t>có giá so với không có giá</t>
        </is>
      </c>
      <c r="F5" s="22">
        <f>B5/C5</f>
        <v>3.310344827586207</v>
      </c>
    </row>
    <row r="6">
      <c r="A6" s="4" t="inlineStr">
        <is>
          <t>Dạng bài</t>
        </is>
      </c>
      <c r="B6" s="4" t="n">
        <v>45</v>
      </c>
      <c r="C6" s="4" t="n">
        <v>14</v>
      </c>
      <c r="E6" s="4" t="inlineStr">
        <is>
          <t>video so với ảnh</t>
        </is>
      </c>
      <c r="F6" s="22">
        <f>B6/C6</f>
        <v>3.2142857142857144</v>
      </c>
    </row>
    <row r="7">
      <c r="A7" s="4" t="inlineStr">
        <is>
          <t>Giờ đăng</t>
        </is>
      </c>
      <c r="B7" s="4" t="n">
        <v>26</v>
      </c>
      <c r="C7" s="4" t="n">
        <v>15</v>
      </c>
      <c r="E7" s="4" t="inlineStr">
        <is>
          <t>18 – 24 giờ so với trước 18 giờ</t>
        </is>
      </c>
      <c r="F7" s="22">
        <f>B7/C7</f>
        <v>1.7333333333333334</v>
      </c>
    </row>
    <row r="8">
      <c r="A8" s="4" t="inlineStr">
        <is>
          <t>Nhóm tiệc, hội nghị</t>
        </is>
      </c>
      <c r="B8" s="4" t="n">
        <v>46</v>
      </c>
      <c r="C8" s="4" t="n">
        <v>14.5</v>
      </c>
      <c r="E8" s="4" t="inlineStr">
        <is>
          <t>tiệc, hội nghị, sinh nhật so với nhóm khác</t>
        </is>
      </c>
      <c r="F8" s="22">
        <f>B8/C8</f>
        <v>3.1724137931034484</v>
      </c>
    </row>
    <row r="9">
      <c r="A9" s="4" t="inlineStr">
        <is>
          <t>Gia đình, trẻ em</t>
        </is>
      </c>
      <c r="B9" s="4" t="n">
        <v>25</v>
      </c>
      <c r="C9" s="4" t="n">
        <v>14</v>
      </c>
      <c r="E9" s="4" t="inlineStr">
        <is>
          <t>có nội dung cho bé so với không có</t>
        </is>
      </c>
      <c r="F9" s="22">
        <f>B9/C9</f>
        <v>1.7857142857142858</v>
      </c>
    </row>
    <row r="10">
      <c r="A10" s="4" t="inlineStr">
        <is>
          <t>Số hashtag (năm 2026)</t>
        </is>
      </c>
      <c r="B10" s="4" t="n">
        <v>27</v>
      </c>
      <c r="C10" s="4" t="n">
        <v>14</v>
      </c>
      <c r="E10" s="4" t="inlineStr">
        <is>
          <t>dưới 10 so với từ 10 trở lên</t>
        </is>
      </c>
      <c r="F10" s="22">
        <f>B10/C10</f>
        <v>1.9285714285714286</v>
      </c>
    </row>
    <row r="12">
      <c r="A12" s="13" t="inlineStr">
        <is>
          <t>Dạng bài, giờ đăng, nhóm tiệc: tính từ 159 bài của trang Hotel (tim-hieu/bai-facebook.csv).</t>
        </is>
      </c>
    </row>
    <row r="13">
      <c r="A13" s="13" t="inlineStr">
        <is>
          <t>Giá, nội dung cho bé, hashtag: theo phân tích toàn văn 153 bài có chữ trong de-xuat/3-bai-hoc-va-dieu-chinh.md.</t>
        </is>
      </c>
    </row>
    <row r="14">
      <c r="A14" s="13" t="inlineStr">
        <is>
          <t>Đây là tương quan, chưa phải nguyên nhân: bài được chạy quảng cáo có thể rơi nhiều vào nhóm có giá, có video, đăng buổi tối.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" customWidth="1" min="3" max="3"/>
    <col width="12" customWidth="1" min="4" max="4"/>
    <col width="16" customWidth="1" min="5" max="5"/>
  </cols>
  <sheetData>
    <row r="1">
      <c r="A1" s="1" t="inlineStr">
        <is>
          <t>Ba reel buffet chiếm 95% lượt xem reel</t>
        </is>
      </c>
    </row>
    <row r="2">
      <c r="A2" s="2" t="inlineStr">
        <is>
          <t>10 reel của trang Hotel, 06 – 09/2026 · PDF trang 13</t>
        </is>
      </c>
    </row>
    <row r="4">
      <c r="A4" s="5" t="inlineStr">
        <is>
          <t>Reel (ngày đăng)</t>
        </is>
      </c>
      <c r="B4" s="5" t="inlineStr">
        <is>
          <t>Lượt xem</t>
        </is>
      </c>
      <c r="D4" s="5" t="inlineStr">
        <is>
          <t>Lượt thích</t>
        </is>
      </c>
      <c r="E4" s="5" t="inlineStr">
        <is>
          <t>Thích trên 1.000 xem</t>
        </is>
      </c>
    </row>
    <row r="5">
      <c r="A5" s="4" t="inlineStr">
        <is>
          <t>Buffet hải sản cuối tuần (03/06)</t>
        </is>
      </c>
      <c r="B5" s="14" t="n">
        <v>102000</v>
      </c>
      <c r="D5" s="14" t="n">
        <v>87</v>
      </c>
      <c r="E5" s="23">
        <f>D5/B5*1000</f>
        <v>0.8529411764705882</v>
      </c>
    </row>
    <row r="6">
      <c r="A6" s="4" t="inlineStr">
        <is>
          <t>Buffet hải sản cuối tuần (19/07)</t>
        </is>
      </c>
      <c r="B6" s="14" t="n">
        <v>65000</v>
      </c>
      <c r="D6" s="14" t="n">
        <v>69</v>
      </c>
      <c r="E6" s="23">
        <f>D6/B6*1000</f>
        <v>1.0615384615384615</v>
      </c>
    </row>
    <row r="7">
      <c r="A7" s="4" t="inlineStr">
        <is>
          <t>Buffet hải sản cuối tuần (20/06)</t>
        </is>
      </c>
      <c r="B7" s="14" t="n">
        <v>33000</v>
      </c>
      <c r="D7" s="14" t="n">
        <v>23</v>
      </c>
      <c r="E7" s="23">
        <f>D7/B7*1000</f>
        <v>0.696969696969697</v>
      </c>
    </row>
    <row r="8">
      <c r="A8" s="4" t="inlineStr">
        <is>
          <t>Seafood &amp; Wine Platter (14/06)</t>
        </is>
      </c>
      <c r="B8" s="14" t="n">
        <v>3400</v>
      </c>
      <c r="D8" s="14" t="n">
        <v>14</v>
      </c>
      <c r="E8" s="23">
        <f>D8/B8*1000</f>
        <v>4.11764705882353</v>
      </c>
    </row>
    <row r="9">
      <c r="A9" s="4" t="inlineStr">
        <is>
          <t>Cocktail mùa hè (06/07)</t>
        </is>
      </c>
      <c r="B9" s="14" t="n">
        <v>1600</v>
      </c>
      <c r="D9" s="14" t="n">
        <v>6</v>
      </c>
      <c r="E9" s="23">
        <f>D9/B9*1000</f>
        <v>3.75</v>
      </c>
    </row>
    <row r="10">
      <c r="A10" s="4" t="inlineStr">
        <is>
          <t>BBQ T-Bone và rượu vang (10/07)</t>
        </is>
      </c>
      <c r="B10" s="14" t="n">
        <v>1500</v>
      </c>
      <c r="D10" s="14" t="n">
        <v>8</v>
      </c>
      <c r="E10" s="23">
        <f>D10/B10*1000</f>
        <v>5.333333333333333</v>
      </c>
    </row>
    <row r="11">
      <c r="A11" s="4" t="inlineStr">
        <is>
          <t>Nhạc sống mỗi tối (08/08)</t>
        </is>
      </c>
      <c r="B11" s="14" t="n">
        <v>1200</v>
      </c>
      <c r="D11" s="14" t="n">
        <v>19</v>
      </c>
      <c r="E11" s="23">
        <f>D11/B11*1000</f>
        <v>15.833333333333334</v>
      </c>
    </row>
    <row r="12">
      <c r="A12" s="4" t="inlineStr">
        <is>
          <t>Combo trưa 89K (07/09)</t>
        </is>
      </c>
      <c r="B12" s="14" t="n">
        <v>1100</v>
      </c>
      <c r="D12" s="14" t="n">
        <v>10</v>
      </c>
      <c r="E12" s="23">
        <f>D12/B12*1000</f>
        <v>9.09090909090909</v>
      </c>
    </row>
    <row r="13">
      <c r="A13" s="4" t="inlineStr">
        <is>
          <t>Seasoulantern (14/09)</t>
        </is>
      </c>
      <c r="B13" s="14" t="n">
        <v>1100</v>
      </c>
      <c r="D13" s="14" t="n">
        <v>17</v>
      </c>
      <c r="E13" s="23">
        <f>D13/B13*1000</f>
        <v>15.454545454545455</v>
      </c>
    </row>
    <row r="14">
      <c r="A14" s="4" t="inlineStr">
        <is>
          <t>Lời chúc Trung thu (25/09)</t>
        </is>
      </c>
      <c r="B14" s="14" t="n">
        <v>470</v>
      </c>
      <c r="D14" s="14" t="n">
        <v>8</v>
      </c>
      <c r="E14" s="23">
        <f>D14/B14*1000</f>
        <v>17.02127659574468</v>
      </c>
    </row>
    <row r="16">
      <c r="A16" s="3" t="inlineStr">
        <is>
          <t>Phần lượt xem của 3 reel buffet</t>
        </is>
      </c>
      <c r="B16" s="24">
        <f>SUM(B5:B7)/SUM(B5:B14)</f>
        <v>0.9507058991301041</v>
      </c>
    </row>
    <row r="18">
      <c r="A18" s="13" t="inlineStr">
        <is>
          <t>PDF tô màu 3 reel buffet (3 dòng đầu), các reel khác màu xám.</t>
        </is>
      </c>
    </row>
    <row r="19">
      <c r="A19" s="13" t="inlineStr">
        <is>
          <t>Ba reel buffet có khoảng 1 lượt thích trên 1.000 lượt xem, tỷ lệ hay gặp khi có chạy quảng cáo.</t>
        </is>
      </c>
    </row>
    <row r="20">
      <c r="A20" s="13" t="inlineStr">
        <is>
          <t>Nguồn: tim-hieu/4-facebook.md (mục 7), lượt xem và lượt thích tại ngày quét.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16 chương trình có bài trên 100 lượt thích</t>
        </is>
      </c>
    </row>
    <row r="2">
      <c r="A2" s="2" t="inlineStr">
        <is>
          <t>Lượt thích của bài Fanpage tốt nhất ở mỗi chương trình, 10/2025 – 10/2026 · PDF trang 14</t>
        </is>
      </c>
    </row>
    <row r="4">
      <c r="A4" s="5" t="inlineStr">
        <is>
          <t>Chương trình</t>
        </is>
      </c>
      <c r="B4" s="5" t="inlineStr">
        <is>
          <t>Lượt thích</t>
        </is>
      </c>
    </row>
    <row r="5">
      <c r="A5" s="4" t="inlineStr">
        <is>
          <t>Luxury Banquet, tiệc từ 280k/khách</t>
        </is>
      </c>
      <c r="B5" s="14" t="n">
        <v>1825</v>
      </c>
    </row>
    <row r="6">
      <c r="A6" s="4" t="inlineStr">
        <is>
          <t>Buffet hải sản cuối tuần 435k</t>
        </is>
      </c>
      <c r="B6" s="14" t="n">
        <v>1209</v>
      </c>
    </row>
    <row r="7">
      <c r="A7" s="4" t="inlineStr">
        <is>
          <t>Year End Party 2025, từ 269k/khách</t>
        </is>
      </c>
      <c r="B7" s="14" t="n">
        <v>1066</v>
      </c>
    </row>
    <row r="8">
      <c r="A8" s="4" t="inlineStr">
        <is>
          <t>Gói hè Seasoulantics, từ 950k/khách</t>
        </is>
      </c>
      <c r="B8" s="14" t="n">
        <v>660</v>
      </c>
    </row>
    <row r="9">
      <c r="A9" s="4" t="inlineStr">
        <is>
          <t>Khu lái xe tải cho bé, 100k/giờ</t>
        </is>
      </c>
      <c r="B9" s="14" t="n">
        <v>556</v>
      </c>
    </row>
    <row r="10">
      <c r="A10" s="4" t="inlineStr">
        <is>
          <t>Nhạc sống: lịch diễn tháng 2</t>
        </is>
      </c>
      <c r="B10" s="14" t="n">
        <v>429</v>
      </c>
    </row>
    <row r="11">
      <c r="A11" s="4" t="inlineStr">
        <is>
          <t>Combo trưa 89k</t>
        </is>
      </c>
      <c r="B11" s="14" t="n">
        <v>415</v>
      </c>
    </row>
    <row r="12">
      <c r="A12" s="4" t="inlineStr">
        <is>
          <t>Tiệc sinh nhật, từ 170k/khách</t>
        </is>
      </c>
      <c r="B12" s="14" t="n">
        <v>285</v>
      </c>
    </row>
    <row r="13">
      <c r="A13" s="4" t="inlineStr">
        <is>
          <t>Buffet sáng cuối tuần 119k</t>
        </is>
      </c>
      <c r="B13" s="14" t="n">
        <v>163</v>
      </c>
    </row>
    <row r="14">
      <c r="A14" s="4" t="inlineStr">
        <is>
          <t>SeaSoulighting Her Day (8/3)</t>
        </is>
      </c>
      <c r="B14" s="14" t="n">
        <v>162</v>
      </c>
    </row>
    <row r="15">
      <c r="A15" s="4" t="inlineStr">
        <is>
          <t>Thắp sáng cây thông 2025</t>
        </is>
      </c>
      <c r="B15" s="14" t="n">
        <v>137</v>
      </c>
    </row>
    <row r="16">
      <c r="A16" s="4" t="inlineStr">
        <is>
          <t>Tết 2026 (video áo dài)</t>
        </is>
      </c>
      <c r="B16" s="14" t="n">
        <v>135</v>
      </c>
    </row>
    <row r="17">
      <c r="A17" s="4" t="inlineStr">
        <is>
          <t>Bánh Trung thu 2026</t>
        </is>
      </c>
      <c r="B17" s="14" t="n">
        <v>132</v>
      </c>
    </row>
    <row r="18">
      <c r="A18" s="4" t="inlineStr">
        <is>
          <t>Tiệc tất niên 2026, từ 280k/khách</t>
        </is>
      </c>
      <c r="B18" s="14" t="n">
        <v>124</v>
      </c>
    </row>
    <row r="19">
      <c r="A19" s="4" t="inlineStr">
        <is>
          <t>Countdown 2026</t>
        </is>
      </c>
      <c r="B19" s="14" t="n">
        <v>110</v>
      </c>
    </row>
    <row r="20">
      <c r="A20" s="4" t="inlineStr">
        <is>
          <t>Black Friday: mua 1 tặng 1 phòng Suite</t>
        </is>
      </c>
      <c r="B20" s="14" t="n">
        <v>103</v>
      </c>
    </row>
    <row r="22">
      <c r="A22" s="13" t="inlineStr">
        <is>
          <t>Mỗi chương trình lấy bài Fanpage có nhiều lượt thích nhất.</t>
        </is>
      </c>
    </row>
    <row r="23">
      <c r="A23" s="13" t="inlineStr">
        <is>
          <t>Nguồn: tim-hieu/bai-facebook.csv và danh mục chương trình ở Phần 3 của PDF.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2026-10-13T08:00:02Z</dcterms:created>
  <dcterms:modified xsi:type="dcterms:W3CDTF">2026-10-13T08:00:02Z</dcterms:modified>
</cp:coreProperties>
</file>